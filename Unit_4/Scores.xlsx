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3D7AF721-AACE-413E-A90D-48B6CFDCB710}" xr6:coauthVersionLast="43" xr6:coauthVersionMax="43" xr10:uidLastSave="{00000000-0000-0000-0000-000000000000}"/>
  <bookViews>
    <workbookView xWindow="-96" yWindow="-96" windowWidth="23232" windowHeight="13152" activeTab="2" xr2:uid="{5B3BEAF2-FB52-440A-921C-5B0856FBA78C}"/>
  </bookViews>
  <sheets>
    <sheet name="Scores" sheetId="2" r:id="rId1"/>
    <sheet name="Loan" sheetId="1" r:id="rId2"/>
    <sheet name="Bonu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B6" i="1" l="1"/>
  <c r="B7" i="2"/>
  <c r="A7" i="1"/>
  <c r="A6" i="1"/>
</calcChain>
</file>

<file path=xl/sharedStrings.xml><?xml version="1.0" encoding="utf-8"?>
<sst xmlns="http://schemas.openxmlformats.org/spreadsheetml/2006/main" count="44" uniqueCount="44">
  <si>
    <t>Interest Rate</t>
  </si>
  <si>
    <t>Loan Payment Estimator</t>
  </si>
  <si>
    <t>Months</t>
  </si>
  <si>
    <t>March</t>
  </si>
  <si>
    <t>April</t>
  </si>
  <si>
    <t>May</t>
  </si>
  <si>
    <t>Average</t>
  </si>
  <si>
    <t>Richard</t>
  </si>
  <si>
    <t>David</t>
  </si>
  <si>
    <t>Adam</t>
  </si>
  <si>
    <t>Zaou</t>
  </si>
  <si>
    <t>Ye</t>
  </si>
  <si>
    <t>Xanderfield</t>
  </si>
  <si>
    <t>Williams</t>
  </si>
  <si>
    <t>Voorhees</t>
  </si>
  <si>
    <t>Ullman</t>
  </si>
  <si>
    <t>Triton</t>
  </si>
  <si>
    <t>Simpson</t>
  </si>
  <si>
    <t>Robeson</t>
  </si>
  <si>
    <t>Quent</t>
  </si>
  <si>
    <t>Patrick</t>
  </si>
  <si>
    <t>O'Brien</t>
  </si>
  <si>
    <t>Nunez</t>
  </si>
  <si>
    <t>Martinez</t>
  </si>
  <si>
    <t>Lopez</t>
  </si>
  <si>
    <t>Kandal</t>
  </si>
  <si>
    <t>Jackson</t>
  </si>
  <si>
    <t>Isaacson</t>
  </si>
  <si>
    <t>Haberman</t>
  </si>
  <si>
    <t>Greer</t>
  </si>
  <si>
    <t>Foltz</t>
  </si>
  <si>
    <t>Eastman</t>
  </si>
  <si>
    <t>Devon</t>
  </si>
  <si>
    <t>Clarke</t>
  </si>
  <si>
    <t>Blake</t>
  </si>
  <si>
    <t>Abernathy</t>
  </si>
  <si>
    <t>Bonus</t>
  </si>
  <si>
    <t>Units Sold</t>
  </si>
  <si>
    <t>Total Payout</t>
  </si>
  <si>
    <t>Bonus Threshold</t>
  </si>
  <si>
    <t># of $100 Bonuses</t>
  </si>
  <si>
    <t xml:space="preserve"># of $25 Bonuses </t>
  </si>
  <si>
    <t>Payout $100 Bonuses</t>
  </si>
  <si>
    <t>Payout $25 Bonuses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</si>
</sst>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6" fontId="0" fillId="0" borderId="0" xfId="0" applyNumberFormat="1"/>
    <xf numFmtId="0" fontId="1" fillId="0" borderId="0" xfId="1"/>
    <xf numFmtId="8" fontId="0" fillId="0" borderId="0" xfId="0" applyNumberForma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44" fontId="0" fillId="0" borderId="0" xfId="2" applyFont="1"/>
    <xf numFmtId="0" fontId="2" fillId="0" borderId="0" xfId="0" applyFont="1" applyAlignment="1">
      <alignment horizontal="right"/>
    </xf>
  </cellXfs>
  <cellStyles count="3">
    <cellStyle name="Currency" xfId="2" builtinId="4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5A02-A139-4F46-88E8-2A21B49B778C}">
  <dimension ref="A3:D7"/>
  <sheetViews>
    <sheetView workbookViewId="0">
      <selection activeCell="B7" sqref="B7"/>
    </sheetView>
  </sheetViews>
  <sheetFormatPr defaultRowHeight="14.4" x14ac:dyDescent="0.55000000000000004"/>
  <sheetData>
    <row r="3" spans="1:4" x14ac:dyDescent="0.55000000000000004">
      <c r="B3" s="7" t="s">
        <v>3</v>
      </c>
      <c r="C3" s="7" t="s">
        <v>4</v>
      </c>
      <c r="D3" s="7" t="s">
        <v>5</v>
      </c>
    </row>
    <row r="4" spans="1:4" x14ac:dyDescent="0.55000000000000004">
      <c r="A4" t="s">
        <v>7</v>
      </c>
      <c r="B4">
        <v>20</v>
      </c>
      <c r="C4">
        <v>19</v>
      </c>
      <c r="D4">
        <v>21</v>
      </c>
    </row>
    <row r="5" spans="1:4" x14ac:dyDescent="0.55000000000000004">
      <c r="A5" t="s">
        <v>8</v>
      </c>
      <c r="B5">
        <v>21</v>
      </c>
      <c r="C5">
        <v>18</v>
      </c>
      <c r="D5">
        <v>17</v>
      </c>
    </row>
    <row r="6" spans="1:4" x14ac:dyDescent="0.55000000000000004">
      <c r="A6" t="s">
        <v>9</v>
      </c>
      <c r="B6">
        <v>12</v>
      </c>
      <c r="C6">
        <v>4</v>
      </c>
      <c r="D6">
        <v>7</v>
      </c>
    </row>
    <row r="7" spans="1:4" x14ac:dyDescent="0.55000000000000004">
      <c r="A7" s="5" t="s">
        <v>6</v>
      </c>
      <c r="B7" s="6">
        <f>SUM(B4:B6)</f>
        <v>53</v>
      </c>
      <c r="C7" s="6"/>
      <c r="D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CEEE-D6EB-42C2-AEDC-AF3629377BE5}">
  <dimension ref="A1:D7"/>
  <sheetViews>
    <sheetView workbookViewId="0">
      <selection activeCell="B7" sqref="B7"/>
    </sheetView>
  </sheetViews>
  <sheetFormatPr defaultRowHeight="14.4" x14ac:dyDescent="0.55000000000000004"/>
  <cols>
    <col min="1" max="1" width="11.7890625" customWidth="1"/>
    <col min="2" max="3" width="10.1015625" bestFit="1" customWidth="1"/>
    <col min="4" max="4" width="8.89453125" bestFit="1" customWidth="1"/>
  </cols>
  <sheetData>
    <row r="1" spans="1:4" ht="23.1" x14ac:dyDescent="0.85">
      <c r="A1" s="3" t="s">
        <v>1</v>
      </c>
    </row>
    <row r="3" spans="1:4" x14ac:dyDescent="0.55000000000000004">
      <c r="A3" t="s">
        <v>0</v>
      </c>
      <c r="B3" s="1">
        <v>0.03</v>
      </c>
    </row>
    <row r="5" spans="1:4" x14ac:dyDescent="0.55000000000000004">
      <c r="A5" t="s">
        <v>2</v>
      </c>
      <c r="B5" s="2">
        <v>200000</v>
      </c>
      <c r="C5" s="2">
        <v>300000</v>
      </c>
      <c r="D5" s="2">
        <v>400000</v>
      </c>
    </row>
    <row r="6" spans="1:4" x14ac:dyDescent="0.55000000000000004">
      <c r="A6">
        <f>15*12</f>
        <v>180</v>
      </c>
      <c r="B6" s="4">
        <f>PMT(B3/12, A6,B5)</f>
        <v>-1381.1632805559802</v>
      </c>
      <c r="C6" s="4"/>
    </row>
    <row r="7" spans="1:4" x14ac:dyDescent="0.55000000000000004">
      <c r="A7">
        <f>30*12</f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A7A9-E526-460F-9EF9-EA72DAC241B2}">
  <dimension ref="A1:C34"/>
  <sheetViews>
    <sheetView tabSelected="1" zoomScaleNormal="100" workbookViewId="0">
      <selection activeCell="G1" sqref="G1"/>
    </sheetView>
  </sheetViews>
  <sheetFormatPr defaultRowHeight="14.4" x14ac:dyDescent="0.55000000000000004"/>
  <cols>
    <col min="1" max="1" width="18.62890625" bestFit="1" customWidth="1"/>
  </cols>
  <sheetData>
    <row r="1" spans="1:3" x14ac:dyDescent="0.55000000000000004">
      <c r="A1" t="s">
        <v>39</v>
      </c>
      <c r="B1">
        <v>75</v>
      </c>
    </row>
    <row r="2" spans="1:3" x14ac:dyDescent="0.55000000000000004">
      <c r="A2" t="s">
        <v>40</v>
      </c>
    </row>
    <row r="3" spans="1:3" x14ac:dyDescent="0.55000000000000004">
      <c r="A3" t="s">
        <v>41</v>
      </c>
    </row>
    <row r="4" spans="1:3" x14ac:dyDescent="0.55000000000000004">
      <c r="A4" t="s">
        <v>42</v>
      </c>
    </row>
    <row r="5" spans="1:3" x14ac:dyDescent="0.55000000000000004">
      <c r="A5" t="s">
        <v>43</v>
      </c>
    </row>
    <row r="6" spans="1:3" x14ac:dyDescent="0.55000000000000004">
      <c r="A6" t="s">
        <v>38</v>
      </c>
    </row>
    <row r="8" spans="1:3" x14ac:dyDescent="0.55000000000000004">
      <c r="B8" s="9" t="s">
        <v>37</v>
      </c>
      <c r="C8" s="9" t="s">
        <v>36</v>
      </c>
    </row>
    <row r="9" spans="1:3" x14ac:dyDescent="0.55000000000000004">
      <c r="A9" t="s">
        <v>35</v>
      </c>
      <c r="B9">
        <v>86</v>
      </c>
      <c r="C9" s="8">
        <f t="shared" ref="C9:C34" si="0">IF(B8&gt;=$B$1,100,25)</f>
        <v>100</v>
      </c>
    </row>
    <row r="10" spans="1:3" x14ac:dyDescent="0.55000000000000004">
      <c r="A10" t="s">
        <v>34</v>
      </c>
      <c r="B10">
        <v>71</v>
      </c>
      <c r="C10" s="8">
        <f t="shared" si="0"/>
        <v>100</v>
      </c>
    </row>
    <row r="11" spans="1:3" x14ac:dyDescent="0.55000000000000004">
      <c r="A11" t="s">
        <v>33</v>
      </c>
      <c r="B11">
        <v>58</v>
      </c>
      <c r="C11" s="8">
        <f t="shared" si="0"/>
        <v>25</v>
      </c>
    </row>
    <row r="12" spans="1:3" x14ac:dyDescent="0.55000000000000004">
      <c r="A12" t="s">
        <v>32</v>
      </c>
      <c r="B12">
        <v>64</v>
      </c>
      <c r="C12" s="8">
        <f t="shared" si="0"/>
        <v>25</v>
      </c>
    </row>
    <row r="13" spans="1:3" x14ac:dyDescent="0.55000000000000004">
      <c r="A13" t="s">
        <v>31</v>
      </c>
      <c r="B13">
        <v>58</v>
      </c>
      <c r="C13" s="8">
        <f t="shared" si="0"/>
        <v>25</v>
      </c>
    </row>
    <row r="14" spans="1:3" x14ac:dyDescent="0.55000000000000004">
      <c r="A14" t="s">
        <v>30</v>
      </c>
      <c r="B14">
        <v>61</v>
      </c>
      <c r="C14" s="8">
        <f t="shared" si="0"/>
        <v>25</v>
      </c>
    </row>
    <row r="15" spans="1:3" x14ac:dyDescent="0.55000000000000004">
      <c r="A15" t="s">
        <v>29</v>
      </c>
      <c r="B15">
        <v>81</v>
      </c>
      <c r="C15" s="8">
        <f t="shared" si="0"/>
        <v>25</v>
      </c>
    </row>
    <row r="16" spans="1:3" x14ac:dyDescent="0.55000000000000004">
      <c r="A16" t="s">
        <v>28</v>
      </c>
      <c r="B16">
        <v>67</v>
      </c>
      <c r="C16" s="8">
        <f t="shared" si="0"/>
        <v>100</v>
      </c>
    </row>
    <row r="17" spans="1:3" x14ac:dyDescent="0.55000000000000004">
      <c r="A17" t="s">
        <v>27</v>
      </c>
      <c r="B17">
        <v>98</v>
      </c>
      <c r="C17" s="8">
        <f t="shared" si="0"/>
        <v>25</v>
      </c>
    </row>
    <row r="18" spans="1:3" x14ac:dyDescent="0.55000000000000004">
      <c r="A18" t="s">
        <v>26</v>
      </c>
      <c r="B18">
        <v>97</v>
      </c>
      <c r="C18" s="8">
        <f t="shared" si="0"/>
        <v>100</v>
      </c>
    </row>
    <row r="19" spans="1:3" x14ac:dyDescent="0.55000000000000004">
      <c r="A19" t="s">
        <v>25</v>
      </c>
      <c r="B19">
        <v>84</v>
      </c>
      <c r="C19" s="8">
        <f t="shared" si="0"/>
        <v>100</v>
      </c>
    </row>
    <row r="20" spans="1:3" x14ac:dyDescent="0.55000000000000004">
      <c r="A20" t="s">
        <v>24</v>
      </c>
      <c r="B20">
        <v>69</v>
      </c>
      <c r="C20" s="8">
        <f t="shared" si="0"/>
        <v>100</v>
      </c>
    </row>
    <row r="21" spans="1:3" x14ac:dyDescent="0.55000000000000004">
      <c r="A21" t="s">
        <v>23</v>
      </c>
      <c r="B21">
        <v>65</v>
      </c>
      <c r="C21" s="8">
        <f t="shared" si="0"/>
        <v>25</v>
      </c>
    </row>
    <row r="22" spans="1:3" x14ac:dyDescent="0.55000000000000004">
      <c r="A22" t="s">
        <v>22</v>
      </c>
      <c r="B22">
        <v>63</v>
      </c>
      <c r="C22" s="8">
        <f t="shared" si="0"/>
        <v>25</v>
      </c>
    </row>
    <row r="23" spans="1:3" x14ac:dyDescent="0.55000000000000004">
      <c r="A23" t="s">
        <v>21</v>
      </c>
      <c r="B23">
        <v>57</v>
      </c>
      <c r="C23" s="8">
        <f t="shared" si="0"/>
        <v>25</v>
      </c>
    </row>
    <row r="24" spans="1:3" x14ac:dyDescent="0.55000000000000004">
      <c r="A24" t="s">
        <v>20</v>
      </c>
      <c r="B24">
        <v>66</v>
      </c>
      <c r="C24" s="8">
        <f t="shared" si="0"/>
        <v>25</v>
      </c>
    </row>
    <row r="25" spans="1:3" x14ac:dyDescent="0.55000000000000004">
      <c r="A25" t="s">
        <v>19</v>
      </c>
      <c r="B25">
        <v>74</v>
      </c>
      <c r="C25" s="8">
        <f t="shared" si="0"/>
        <v>25</v>
      </c>
    </row>
    <row r="26" spans="1:3" x14ac:dyDescent="0.55000000000000004">
      <c r="A26" t="s">
        <v>18</v>
      </c>
      <c r="B26">
        <v>62</v>
      </c>
      <c r="C26" s="8">
        <f t="shared" si="0"/>
        <v>25</v>
      </c>
    </row>
    <row r="27" spans="1:3" x14ac:dyDescent="0.55000000000000004">
      <c r="A27" t="s">
        <v>17</v>
      </c>
      <c r="B27">
        <v>63</v>
      </c>
      <c r="C27" s="8">
        <f t="shared" si="0"/>
        <v>25</v>
      </c>
    </row>
    <row r="28" spans="1:3" x14ac:dyDescent="0.55000000000000004">
      <c r="A28" t="s">
        <v>16</v>
      </c>
      <c r="B28">
        <v>56</v>
      </c>
      <c r="C28" s="8">
        <f t="shared" si="0"/>
        <v>25</v>
      </c>
    </row>
    <row r="29" spans="1:3" x14ac:dyDescent="0.55000000000000004">
      <c r="A29" t="s">
        <v>15</v>
      </c>
      <c r="B29">
        <v>90</v>
      </c>
      <c r="C29" s="8">
        <f t="shared" si="0"/>
        <v>25</v>
      </c>
    </row>
    <row r="30" spans="1:3" x14ac:dyDescent="0.55000000000000004">
      <c r="A30" t="s">
        <v>14</v>
      </c>
      <c r="B30">
        <v>59</v>
      </c>
      <c r="C30" s="8">
        <f t="shared" si="0"/>
        <v>100</v>
      </c>
    </row>
    <row r="31" spans="1:3" x14ac:dyDescent="0.55000000000000004">
      <c r="A31" t="s">
        <v>13</v>
      </c>
      <c r="B31">
        <v>90</v>
      </c>
      <c r="C31" s="8">
        <f t="shared" si="0"/>
        <v>25</v>
      </c>
    </row>
    <row r="32" spans="1:3" x14ac:dyDescent="0.55000000000000004">
      <c r="A32" t="s">
        <v>12</v>
      </c>
      <c r="B32">
        <v>69</v>
      </c>
      <c r="C32" s="8">
        <f t="shared" si="0"/>
        <v>100</v>
      </c>
    </row>
    <row r="33" spans="1:3" x14ac:dyDescent="0.55000000000000004">
      <c r="A33" t="s">
        <v>11</v>
      </c>
      <c r="B33">
        <v>98</v>
      </c>
      <c r="C33" s="8">
        <f t="shared" si="0"/>
        <v>25</v>
      </c>
    </row>
    <row r="34" spans="1:3" x14ac:dyDescent="0.55000000000000004">
      <c r="A34" t="s">
        <v>10</v>
      </c>
      <c r="B34">
        <v>80</v>
      </c>
      <c r="C34" s="8">
        <f t="shared" si="0"/>
        <v>100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2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Loan</vt:lpstr>
      <vt:lpstr>Bonuses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Scores</dc:title>
  <dc:creator>Duncan Colvin</dc:creator>
  <cp:lastModifiedBy>Jennifer Frew</cp:lastModifiedBy>
  <dcterms:created xsi:type="dcterms:W3CDTF">2019-05-24T00:58:02Z</dcterms:created>
  <dcterms:modified xsi:type="dcterms:W3CDTF">2019-06-07T13:33:52Z</dcterms:modified>
</cp:coreProperties>
</file>